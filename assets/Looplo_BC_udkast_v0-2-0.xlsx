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" sheetId="1" state="visible" r:id="rId3"/>
    <sheet name="Koblingsgraf" sheetId="2" state="visible" r:id="rId4"/>
    <sheet name="Forudsaetninger" sheetId="3" state="visible" r:id="rId5"/>
    <sheet name="Simulering_pr_kobling" sheetId="4" state="visible" r:id="rId6"/>
    <sheet name="Portfolje_saml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<sst xmlns="http://schemas.openxmlformats.org/spreadsheetml/2006/main" count="188" uniqueCount="75">
  <si>
    <t xml:space="preserve">Looplo BC-udkast — Version-log</t>
  </si>
  <si>
    <t xml:space="preserve">AKTUEL VERSION: v0-2-0</t>
  </si>
  <si>
    <t xml:space="preserve">Format: U-V-R. v0 fordi det er en illustrativ skabelon, ikke en leveret kunde-BC endnu.</t>
  </si>
  <si>
    <t xml:space="preserve">Version</t>
  </si>
  <si>
    <t xml:space="preserve">Dato</t>
  </si>
  <si>
    <t xml:space="preserve">Ændring</t>
  </si>
  <si>
    <t xml:space="preserve">Type</t>
  </si>
  <si>
    <t xml:space="preserve">v0-2-0</t>
  </si>
  <si>
    <t xml:space="preserve">2026-07-30</t>
  </si>
  <si>
    <t xml:space="preserve">KÆDEDE ASSUMPTIONS: rettede v0-1-0's uafhængige simulering. Tilføjet domæne-niveau modenheds-multiplikator (trekantfordelt, 0.7/1.0/1.4) der korrelerer alle koblinger et domæne rører - matcher hvordan Lars/Jacobs 2014-@RISK-model kædede celler (AX-kolonnen refererede tidligere celler), og matcher selve koblings-tesen: svigter ét domæne, svigter alt hvad det rører. Ny fane 'Koblingsgraf' dokumenterer mekanikken. Effekt: P90-P10-spredning voksede fra 5.6 til 10.3 procentpoint (klima) - korrelation øger halerisiko, som ventet.</t>
  </si>
  <si>
    <t xml:space="preserve">MINOR</t>
  </si>
  <si>
    <t xml:space="preserve">v0-1-0</t>
  </si>
  <si>
    <t xml:space="preserve">Oprettet. Kvantificeret basis for Looplo_matrix_business_case.xlsx's 20 koblinger (5x5 minus diagonal). Tre-punkts-estimering + Monte Carlo (10.000 iter., numpy trekantfordeling, samme logik som @RISK's RiskTriang). Klima-bånd fra ★-system; Økonomi-bånd fra tekstnøgleord (svagere signal, dokumenteret). ILLUSTRATIVE tal — ingen rigtig kunde bag endnu. Bygget efter Lars Vad Jensen-tråden (Successivkalkulation + @RISK, Moderniseringsstyrelsen 2010-15).</t>
  </si>
  <si>
    <t xml:space="preserve">INIT</t>
  </si>
  <si>
    <t xml:space="preserve">Koblingsgraf — kædede assumptions (v0-2-0)</t>
  </si>
  <si>
    <t xml:space="preserve">RETTET efter Lars-metoden: i v0-1-0 blev de 20 koblinger simuleret som uafhængige. Det var forkert — i den originale @RISK-model (og i selve koblings-tesen) hænger koblinger sammen VIA domænerne. Her har hvert af de 5 domæner en stokastisk 'modenheds-multiplikator' pr. iteration. Enhver kobling, der rører domænet — som Fra ELLER Til — trækkes med i samme retning i den iteration. Det er kæden: trækker EA (domæne 3) et dårligt udfald, svækkes BÅDE EA→AI, EA→Cloud, EA→Psyk og EA→ZeroTrust samtidig — præcis den kobling-logik hele Looplo-tesen hviler på.</t>
  </si>
  <si>
    <t xml:space="preserve">Domæne-modenheds-bånd (illustrativt): min 0.7 · most likely 1.0 · max 1.4 (multiplikator, trekantfordelt)</t>
  </si>
  <si>
    <t xml:space="preserve">Domæne</t>
  </si>
  <si>
    <t xml:space="preserve">Mult. P10</t>
  </si>
  <si>
    <t xml:space="preserve">Mult. P50</t>
  </si>
  <si>
    <t xml:space="preserve">Mult. P90</t>
  </si>
  <si>
    <t xml:space="preserve">Antal koblinger berørt (ind+ud)</t>
  </si>
  <si>
    <t xml:space="preserve">1. Psykologisk Tryghed &amp; EQ</t>
  </si>
  <si>
    <t xml:space="preserve">2. Hyperscale Cloud &amp; Hybrid</t>
  </si>
  <si>
    <t xml:space="preserve">3. Enterprise Arkitektur &amp; Semantic Layer</t>
  </si>
  <si>
    <t xml:space="preserve">4. Zero Trust &amp; Datasuverænitet</t>
  </si>
  <si>
    <t xml:space="preserve">5. AI Kapabilitet &amp; MLOps</t>
  </si>
  <si>
    <t xml:space="preserve">Looplo BC-udkast v0-1-0 — kvantificeret basis for de 20 koblinger</t>
  </si>
  <si>
    <t xml:space="preserve">ILLUSTRATIV SKABELON — ikke en kundes rigtige tal. Baseret på Looplo_matrix_business_case.xlsx's kvalitative vurdering (Klima: stjernesystem ★★/★/○/⚠; Økonomi: tekstnøgleord, mindre skarpt). Skal erstattes med rigtige kunde-tal (fx KK) før brug som reel business case.</t>
  </si>
  <si>
    <t xml:space="preserve">Metode</t>
  </si>
  <si>
    <t xml:space="preserve">Tre-punkts-estimering (min/most likely/max) pr. kobling, samplet med trekantfordeling — samme logik som @RISK's RiskTriang-funktion (Lars Vad Jensens 2014-model brugte netop denne). 10.000 Monte Carlo-iterationer kørt i Python (numpy), da dette miljø ikke har @RISK installeret. Enhed: procent af projektbudget (relativ påvirkning), IKKE kroner — ingen absolutte kundetal findes endnu.</t>
  </si>
  <si>
    <t xml:space="preserve">#</t>
  </si>
  <si>
    <t xml:space="preserve">Fra-domæne</t>
  </si>
  <si>
    <t xml:space="preserve">Til-domæne</t>
  </si>
  <si>
    <t xml:space="preserve">Klima: kilde til bånd</t>
  </si>
  <si>
    <t xml:space="preserve">Klima min%</t>
  </si>
  <si>
    <t xml:space="preserve">Klima ML%</t>
  </si>
  <si>
    <t xml:space="preserve">Klima max%</t>
  </si>
  <si>
    <t xml:space="preserve">Økonomi: kilde til bånd</t>
  </si>
  <si>
    <t xml:space="preserve">Økonomi min%</t>
  </si>
  <si>
    <t xml:space="preserve">Økonomi ML%</t>
  </si>
  <si>
    <t xml:space="preserve">Økonomi max%</t>
  </si>
  <si>
    <t xml:space="preserve">★ DIREKTE</t>
  </si>
  <si>
    <t xml:space="preserve">konkret tal (~35%)</t>
  </si>
  <si>
    <t xml:space="preserve">kvalitativ besparelse</t>
  </si>
  <si>
    <t xml:space="preserve">○ INDIREKTE</t>
  </si>
  <si>
    <t xml:space="preserve">generisk/indirekte</t>
  </si>
  <si>
    <t xml:space="preserve">⚠ KOSTER (negativ)</t>
  </si>
  <si>
    <t xml:space="preserve">★★ STØRST</t>
  </si>
  <si>
    <t xml:space="preserve">superlativ (DEN STORE/størst)</t>
  </si>
  <si>
    <t xml:space="preserve">konkret tal (~60%)</t>
  </si>
  <si>
    <t xml:space="preserve">Monte Carlo-resultat pr. kobling (10.000 iterationer, trekantfordeling)</t>
  </si>
  <si>
    <t xml:space="preserve">P10/P50/P90 = 10./50./90.-percentil af simulerede udfald. Negative værdier = klima-omkostning (⚠-celler).</t>
  </si>
  <si>
    <t xml:space="preserve">Fra</t>
  </si>
  <si>
    <t xml:space="preserve">Til</t>
  </si>
  <si>
    <t xml:space="preserve">Klima P10%</t>
  </si>
  <si>
    <t xml:space="preserve">Klima P50%</t>
  </si>
  <si>
    <t xml:space="preserve">Klima P90%</t>
  </si>
  <si>
    <t xml:space="preserve">Klima gnsn%</t>
  </si>
  <si>
    <t xml:space="preserve">Økonomi P10%</t>
  </si>
  <si>
    <t xml:space="preserve">Økonomi P50%</t>
  </si>
  <si>
    <t xml:space="preserve">Økonomi P90%</t>
  </si>
  <si>
    <t xml:space="preserve">Økonomi gnsn%</t>
  </si>
  <si>
    <t xml:space="preserve">Samlet portefølje — sum af alle 20 koblinger (10.000 iterationer)</t>
  </si>
  <si>
    <t xml:space="preserve">KÆDET MODEL (v0-2-0): koblingerne er IKKE længere uafhængige. Hvert domæne har en fælles modenheds-multiplikator pr. iteration, der trækker alle dets koblinger sammen — se fanen 'Koblingsgraf'. Derfor er spredningen (P90-P10) bredere end i en naiv uafhængig sum.</t>
  </si>
  <si>
    <t xml:space="preserve">Lag</t>
  </si>
  <si>
    <t xml:space="preserve">P10%</t>
  </si>
  <si>
    <t xml:space="preserve">P50%</t>
  </si>
  <si>
    <t xml:space="preserve">P90%</t>
  </si>
  <si>
    <t xml:space="preserve">Gennemsnit%</t>
  </si>
  <si>
    <t xml:space="preserve">Klima</t>
  </si>
  <si>
    <t xml:space="preserve">Økonomi</t>
  </si>
  <si>
    <t xml:space="preserve">Fordeling — Økonomi-portefølje (histogram, 10.000 iterationer)</t>
  </si>
  <si>
    <t xml:space="preserve">Bin (% af budget)</t>
  </si>
  <si>
    <t xml:space="preserve">Antal iterationer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</si>
</sst>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\%"/>
    <numFmt numFmtId="167" formatCode="0.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1C2B"/>
        <bgColor rgb="FF003300"/>
      </patternFill>
    </fill>
    <fill>
      <patternFill patternType="solid">
        <fgColor rgb="FFC77D3A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C77D3A"/>
      <rgbColor rgb="FF0066CC"/>
      <rgbColor rgb="FFD8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1C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Klima-påvirkning pr. kobling (gennemsnit, % af budget)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Simulering_pr_kobling!G4</c:f>
              <c:strCache>
                <c:ptCount val="1"/>
                <c:pt idx="0">
                  <c:v>Klima gnsn%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Simulering_pr_kobling!$B$5:$B$24</c:f>
              <c:strCache>
                <c:ptCount val="20"/>
                <c:pt idx="0">
                  <c:v>1. Psykologisk Tryghed &amp; EQ</c:v>
                </c:pt>
                <c:pt idx="1">
                  <c:v>1. Psykologisk Tryghed &amp; EQ</c:v>
                </c:pt>
                <c:pt idx="2">
                  <c:v>1. Psykologisk Tryghed &amp; EQ</c:v>
                </c:pt>
                <c:pt idx="3">
                  <c:v>1. Psykologisk Tryghed &amp; EQ</c:v>
                </c:pt>
                <c:pt idx="4">
                  <c:v>2. Hyperscale Cloud &amp; Hybrid</c:v>
                </c:pt>
                <c:pt idx="5">
                  <c:v>2. Hyperscale Cloud &amp; Hybrid</c:v>
                </c:pt>
                <c:pt idx="6">
                  <c:v>2. Hyperscale Cloud &amp; Hybrid</c:v>
                </c:pt>
                <c:pt idx="7">
                  <c:v>2. Hyperscale Cloud &amp; Hybrid</c:v>
                </c:pt>
                <c:pt idx="8">
                  <c:v>3. Enterprise Arkitektur &amp; Semantic Layer</c:v>
                </c:pt>
                <c:pt idx="9">
                  <c:v>3. Enterprise Arkitektur &amp; Semantic Layer</c:v>
                </c:pt>
                <c:pt idx="10">
                  <c:v>3. Enterprise Arkitektur &amp; Semantic Layer</c:v>
                </c:pt>
                <c:pt idx="11">
                  <c:v>3. Enterprise Arkitektur &amp; Semantic Layer</c:v>
                </c:pt>
                <c:pt idx="12">
                  <c:v>4. Zero Trust &amp; Datasuverænitet</c:v>
                </c:pt>
                <c:pt idx="13">
                  <c:v>4. Zero Trust &amp; Datasuverænitet</c:v>
                </c:pt>
                <c:pt idx="14">
                  <c:v>4. Zero Trust &amp; Datasuverænitet</c:v>
                </c:pt>
                <c:pt idx="15">
                  <c:v>4. Zero Trust &amp; Datasuverænitet</c:v>
                </c:pt>
                <c:pt idx="16">
                  <c:v>5. AI Kapabilitet &amp; MLOps</c:v>
                </c:pt>
                <c:pt idx="17">
                  <c:v>5. AI Kapabilitet &amp; MLOps</c:v>
                </c:pt>
                <c:pt idx="18">
                  <c:v>5. AI Kapabilitet &amp; MLOps</c:v>
                </c:pt>
                <c:pt idx="19">
                  <c:v>5. AI Kapabilitet &amp; MLOps</c:v>
                </c:pt>
              </c:strCache>
            </c:strRef>
          </c:cat>
          <c:val>
            <c:numRef>
              <c:f>Simulering_pr_kobling!$G$5:$G$24</c:f>
              <c:numCache>
                <c:formatCode>0.0\%</c:formatCode>
                <c:ptCount val="20"/>
                <c:pt idx="0">
                  <c:v>1.77860013140405</c:v>
                </c:pt>
                <c:pt idx="1">
                  <c:v>1.78861322029104</c:v>
                </c:pt>
                <c:pt idx="2">
                  <c:v>0.533889943712932</c:v>
                </c:pt>
                <c:pt idx="3">
                  <c:v>1.77515762954531</c:v>
                </c:pt>
                <c:pt idx="4">
                  <c:v>0.53232537034602</c:v>
                </c:pt>
                <c:pt idx="5">
                  <c:v>1.79437343963678</c:v>
                </c:pt>
                <c:pt idx="6">
                  <c:v>-1.36147176335103</c:v>
                </c:pt>
                <c:pt idx="7">
                  <c:v>1.77342607135847</c:v>
                </c:pt>
                <c:pt idx="8">
                  <c:v>0.535109531286011</c:v>
                </c:pt>
                <c:pt idx="9">
                  <c:v>1.78797379108407</c:v>
                </c:pt>
                <c:pt idx="10">
                  <c:v>0.533368080293549</c:v>
                </c:pt>
                <c:pt idx="11">
                  <c:v>4.63431536207124</c:v>
                </c:pt>
                <c:pt idx="12">
                  <c:v>0.532464660365742</c:v>
                </c:pt>
                <c:pt idx="13">
                  <c:v>1.78493305968257</c:v>
                </c:pt>
                <c:pt idx="14">
                  <c:v>0.531076614717095</c:v>
                </c:pt>
                <c:pt idx="15">
                  <c:v>-1.35531504414594</c:v>
                </c:pt>
                <c:pt idx="16">
                  <c:v>0.535415801858108</c:v>
                </c:pt>
                <c:pt idx="17">
                  <c:v>4.62079238892566</c:v>
                </c:pt>
                <c:pt idx="18">
                  <c:v>0.534561160002276</c:v>
                </c:pt>
                <c:pt idx="19">
                  <c:v>0.53353609063045</c:v>
                </c:pt>
              </c:numCache>
            </c:numRef>
          </c:val>
        </c:ser>
        <c:gapWidth val="150"/>
        <c:overlap val="0"/>
        <c:axId val="30627394"/>
        <c:axId val="55788622"/>
      </c:barChart>
      <c:catAx>
        <c:axId val="306273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88622"/>
        <c:crosses val="autoZero"/>
        <c:auto val="1"/>
        <c:lblAlgn val="ctr"/>
        <c:lblOffset val="100"/>
        <c:noMultiLvlLbl val="0"/>
      </c:catAx>
      <c:valAx>
        <c:axId val="55788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27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Simuleret fordeling — samlet økonomisk gevinst (% af budget)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Portfolje_samlet!B11</c:f>
              <c:strCache>
                <c:ptCount val="1"/>
                <c:pt idx="0">
                  <c:v>Antal iterationer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Portfolje_samlet!$A$12:$A$31</c:f>
              <c:strCache>
                <c:ptCount val="20"/>
                <c:pt idx="0">
                  <c:v>17.9</c:v>
                </c:pt>
                <c:pt idx="1">
                  <c:v>19.7</c:v>
                </c:pt>
                <c:pt idx="2">
                  <c:v>21.4</c:v>
                </c:pt>
                <c:pt idx="3">
                  <c:v>23.2</c:v>
                </c:pt>
                <c:pt idx="4">
                  <c:v>24.9</c:v>
                </c:pt>
                <c:pt idx="5">
                  <c:v>26.7</c:v>
                </c:pt>
                <c:pt idx="6">
                  <c:v>28.4</c:v>
                </c:pt>
                <c:pt idx="7">
                  <c:v>30.2</c:v>
                </c:pt>
                <c:pt idx="8">
                  <c:v>31.9</c:v>
                </c:pt>
                <c:pt idx="9">
                  <c:v>33.7</c:v>
                </c:pt>
                <c:pt idx="10">
                  <c:v>35.4</c:v>
                </c:pt>
                <c:pt idx="11">
                  <c:v>37.2</c:v>
                </c:pt>
                <c:pt idx="12">
                  <c:v>38.9</c:v>
                </c:pt>
                <c:pt idx="13">
                  <c:v>40.7</c:v>
                </c:pt>
                <c:pt idx="14">
                  <c:v>42.4</c:v>
                </c:pt>
                <c:pt idx="15">
                  <c:v>44.2</c:v>
                </c:pt>
                <c:pt idx="16">
                  <c:v>45.9</c:v>
                </c:pt>
                <c:pt idx="17">
                  <c:v>47.7</c:v>
                </c:pt>
                <c:pt idx="18">
                  <c:v>49.4</c:v>
                </c:pt>
                <c:pt idx="19">
                  <c:v>51.2</c:v>
                </c:pt>
              </c:strCache>
            </c:strRef>
          </c:cat>
          <c:val>
            <c:numRef>
              <c:f>Portfolje_samlet!$B$12:$B$31</c:f>
              <c:numCache>
                <c:formatCode>General</c:formatCode>
                <c:ptCount val="20"/>
                <c:pt idx="0">
                  <c:v>16</c:v>
                </c:pt>
                <c:pt idx="1">
                  <c:v>90</c:v>
                </c:pt>
                <c:pt idx="2">
                  <c:v>280</c:v>
                </c:pt>
                <c:pt idx="3">
                  <c:v>626</c:v>
                </c:pt>
                <c:pt idx="4">
                  <c:v>1082</c:v>
                </c:pt>
                <c:pt idx="5">
                  <c:v>1453</c:v>
                </c:pt>
                <c:pt idx="6">
                  <c:v>1550</c:v>
                </c:pt>
                <c:pt idx="7">
                  <c:v>1495</c:v>
                </c:pt>
                <c:pt idx="8">
                  <c:v>1247</c:v>
                </c:pt>
                <c:pt idx="9">
                  <c:v>900</c:v>
                </c:pt>
                <c:pt idx="10">
                  <c:v>619</c:v>
                </c:pt>
                <c:pt idx="11">
                  <c:v>342</c:v>
                </c:pt>
                <c:pt idx="12">
                  <c:v>171</c:v>
                </c:pt>
                <c:pt idx="13">
                  <c:v>72</c:v>
                </c:pt>
                <c:pt idx="14">
                  <c:v>31</c:v>
                </c:pt>
                <c:pt idx="15">
                  <c:v>16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</c:numCache>
            </c:numRef>
          </c:val>
        </c:ser>
        <c:gapWidth val="150"/>
        <c:overlap val="0"/>
        <c:axId val="58288135"/>
        <c:axId val="90059473"/>
      </c:barChart>
      <c:catAx>
        <c:axId val="582881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af projektbudget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59473"/>
        <c:crosses val="autoZero"/>
        <c:auto val="1"/>
        <c:lblAlgn val="ctr"/>
        <c:lblOffset val="100"/>
        <c:noMultiLvlLbl val="0"/>
      </c:catAx>
      <c:valAx>
        <c:axId val="90059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Antal iterationer (ud af 10.000)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881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176040</xdr:rowOff>
    </xdr:from>
    <xdr:to>
      <xdr:col>27</xdr:col>
      <xdr:colOff>78120</xdr:colOff>
      <xdr:row>21</xdr:row>
      <xdr:rowOff>43560</xdr:rowOff>
    </xdr:to>
    <xdr:graphicFrame>
      <xdr:nvGraphicFramePr>
        <xdr:cNvPr id="0" name="Chart 1"/>
        <xdr:cNvGraphicFramePr/>
      </xdr:nvGraphicFramePr>
      <xdr:xfrm>
        <a:off x="10809000" y="566640"/>
        <a:ext cx="8639280" cy="359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176040</xdr:rowOff>
    </xdr:from>
    <xdr:to>
      <xdr:col>16</xdr:col>
      <xdr:colOff>221040</xdr:colOff>
      <xdr:row>29</xdr:row>
      <xdr:rowOff>134640</xdr:rowOff>
    </xdr:to>
    <xdr:graphicFrame>
      <xdr:nvGraphicFramePr>
        <xdr:cNvPr id="1" name="Chart 1"/>
        <xdr:cNvGraphicFramePr/>
      </xdr:nvGraphicFramePr>
      <xdr:xfrm>
        <a:off x="2255400" y="1900080"/>
        <a:ext cx="863928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90"/>
    <col collapsed="false" customWidth="true" hidden="false" outlineLevel="0" max="4" min="4" style="1" width="1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6" customFormat="false" ht="1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94.5" hidden="false" customHeight="true" outlineLevel="0" collapsed="false">
      <c r="A7" s="6" t="s">
        <v>7</v>
      </c>
      <c r="B7" s="6" t="s">
        <v>8</v>
      </c>
      <c r="C7" s="7" t="s">
        <v>9</v>
      </c>
      <c r="D7" s="6" t="s">
        <v>10</v>
      </c>
    </row>
    <row r="8" customFormat="false" ht="68.65" hidden="false" customHeight="false" outlineLevel="0" collapsed="false">
      <c r="A8" s="1" t="s">
        <v>11</v>
      </c>
      <c r="B8" s="1" t="s">
        <v>8</v>
      </c>
      <c r="C8" s="7" t="s">
        <v>12</v>
      </c>
      <c r="D8" s="1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  <col collapsed="false" customWidth="true" hidden="false" outlineLevel="0" max="5" min="5" style="0" width="26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8" t="s">
        <v>14</v>
      </c>
    </row>
    <row r="2" customFormat="false" ht="90" hidden="false" customHeight="true" outlineLevel="0" collapsed="false">
      <c r="A2" s="9" t="s">
        <v>15</v>
      </c>
      <c r="B2" s="9"/>
      <c r="C2" s="9"/>
      <c r="D2" s="9"/>
      <c r="E2" s="9"/>
      <c r="F2" s="9"/>
    </row>
    <row r="5" customFormat="false" ht="15" hidden="false" customHeight="false" outlineLevel="0" collapsed="false">
      <c r="A5" s="10" t="s">
        <v>16</v>
      </c>
      <c r="B5" s="10"/>
      <c r="C5" s="10"/>
      <c r="D5" s="10"/>
      <c r="E5" s="10"/>
      <c r="F5" s="10"/>
    </row>
    <row r="7" customFormat="false" ht="15" hidden="false" customHeight="fals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 t="s">
        <v>21</v>
      </c>
    </row>
    <row r="8" customFormat="false" ht="15" hidden="false" customHeight="false" outlineLevel="0" collapsed="false">
      <c r="A8" s="1" t="s">
        <v>22</v>
      </c>
      <c r="B8" s="12" t="n">
        <v>0.846066605564433</v>
      </c>
      <c r="C8" s="12" t="n">
        <v>1.025199276503</v>
      </c>
      <c r="D8" s="12" t="n">
        <v>1.23047016438936</v>
      </c>
      <c r="E8" s="1" t="n">
        <v>8</v>
      </c>
    </row>
    <row r="9" customFormat="false" ht="15" hidden="false" customHeight="false" outlineLevel="0" collapsed="false">
      <c r="A9" s="1" t="s">
        <v>23</v>
      </c>
      <c r="B9" s="12" t="n">
        <v>0.846780116561527</v>
      </c>
      <c r="C9" s="12" t="n">
        <v>1.02870900857053</v>
      </c>
      <c r="D9" s="12" t="n">
        <v>1.23304239365538</v>
      </c>
      <c r="E9" s="1" t="n">
        <v>8</v>
      </c>
    </row>
    <row r="10" customFormat="false" ht="15" hidden="false" customHeight="false" outlineLevel="0" collapsed="false">
      <c r="A10" s="1" t="s">
        <v>24</v>
      </c>
      <c r="B10" s="12" t="n">
        <v>0.846729777897814</v>
      </c>
      <c r="C10" s="12" t="n">
        <v>1.02662600043706</v>
      </c>
      <c r="D10" s="12" t="n">
        <v>1.2300294813012</v>
      </c>
      <c r="E10" s="1" t="n">
        <v>8</v>
      </c>
    </row>
    <row r="11" customFormat="false" ht="15" hidden="false" customHeight="false" outlineLevel="0" collapsed="false">
      <c r="A11" s="1" t="s">
        <v>25</v>
      </c>
      <c r="B11" s="12" t="n">
        <v>0.845367557669621</v>
      </c>
      <c r="C11" s="12" t="n">
        <v>1.02795316602039</v>
      </c>
      <c r="D11" s="12" t="n">
        <v>1.23441549759539</v>
      </c>
      <c r="E11" s="1" t="n">
        <v>8</v>
      </c>
    </row>
    <row r="12" customFormat="false" ht="15" hidden="false" customHeight="false" outlineLevel="0" collapsed="false">
      <c r="A12" s="1" t="s">
        <v>26</v>
      </c>
      <c r="B12" s="12" t="n">
        <v>0.843918909195552</v>
      </c>
      <c r="C12" s="12" t="n">
        <v>1.02710317434865</v>
      </c>
      <c r="D12" s="12" t="n">
        <v>1.23246965470333</v>
      </c>
      <c r="E12" s="1" t="n">
        <v>8</v>
      </c>
    </row>
  </sheetData>
  <mergeCells count="2">
    <mergeCell ref="A2:F2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6"/>
    <col collapsed="false" customWidth="true" hidden="false" outlineLevel="0" max="4" min="4" style="1" width="20"/>
    <col collapsed="false" customWidth="true" hidden="false" outlineLevel="0" max="7" min="5" style="1" width="9"/>
    <col collapsed="false" customWidth="true" hidden="false" outlineLevel="0" max="8" min="8" style="1" width="20"/>
    <col collapsed="false" customWidth="true" hidden="false" outlineLevel="0" max="11" min="9" style="1" width="9"/>
  </cols>
  <sheetData>
    <row r="1" customFormat="false" ht="17.25" hidden="false" customHeight="true" outlineLevel="0" collapsed="false">
      <c r="A1" s="13" t="s">
        <v>27</v>
      </c>
    </row>
    <row r="2" customFormat="false" ht="23.25" hidden="false" customHeight="true" outlineLevel="0" collapsed="false">
      <c r="A2" s="14" t="s">
        <v>28</v>
      </c>
      <c r="B2" s="14"/>
      <c r="C2" s="14"/>
      <c r="D2" s="14"/>
      <c r="E2" s="14"/>
      <c r="F2" s="14"/>
      <c r="G2" s="14"/>
      <c r="H2" s="14"/>
      <c r="I2" s="14"/>
    </row>
    <row r="4" customFormat="false" ht="15" hidden="false" customHeight="true" outlineLevel="0" collapsed="false">
      <c r="A4" s="3" t="s">
        <v>29</v>
      </c>
    </row>
    <row r="5" customFormat="false" ht="45" hidden="false" customHeight="true" outlineLevel="0" collapsed="false">
      <c r="A5" s="9" t="s">
        <v>30</v>
      </c>
      <c r="B5" s="9"/>
      <c r="C5" s="9"/>
      <c r="D5" s="9"/>
      <c r="E5" s="9"/>
      <c r="F5" s="9"/>
      <c r="G5" s="9"/>
      <c r="H5" s="9"/>
      <c r="I5" s="9"/>
    </row>
    <row r="7" customFormat="false" ht="23.25" hidden="false" customHeight="true" outlineLevel="0" collapsed="false">
      <c r="A7" s="15" t="s">
        <v>31</v>
      </c>
      <c r="B7" s="15" t="s">
        <v>32</v>
      </c>
      <c r="C7" s="15" t="s">
        <v>33</v>
      </c>
      <c r="D7" s="15" t="s">
        <v>34</v>
      </c>
      <c r="E7" s="15" t="s">
        <v>35</v>
      </c>
      <c r="F7" s="15" t="s">
        <v>36</v>
      </c>
      <c r="G7" s="15" t="s">
        <v>37</v>
      </c>
      <c r="H7" s="15" t="s">
        <v>38</v>
      </c>
      <c r="I7" s="15" t="s">
        <v>39</v>
      </c>
      <c r="J7" s="15" t="s">
        <v>40</v>
      </c>
      <c r="K7" s="15" t="s">
        <v>41</v>
      </c>
    </row>
    <row r="8" customFormat="false" ht="15" hidden="false" customHeight="true" outlineLevel="0" collapsed="false">
      <c r="A8" s="16" t="n">
        <v>1</v>
      </c>
      <c r="B8" s="16" t="s">
        <v>22</v>
      </c>
      <c r="C8" s="16" t="s">
        <v>23</v>
      </c>
      <c r="D8" s="16" t="s">
        <v>42</v>
      </c>
      <c r="E8" s="17" t="n">
        <v>0.5</v>
      </c>
      <c r="F8" s="17" t="n">
        <v>1.5</v>
      </c>
      <c r="G8" s="17" t="n">
        <v>3</v>
      </c>
      <c r="H8" s="16" t="s">
        <v>43</v>
      </c>
      <c r="I8" s="17" t="n">
        <v>1.5</v>
      </c>
      <c r="J8" s="17" t="n">
        <v>3</v>
      </c>
      <c r="K8" s="17" t="n">
        <v>5.5</v>
      </c>
    </row>
    <row r="9" customFormat="false" ht="15" hidden="false" customHeight="true" outlineLevel="0" collapsed="false">
      <c r="A9" s="16" t="n">
        <v>2</v>
      </c>
      <c r="B9" s="16" t="s">
        <v>22</v>
      </c>
      <c r="C9" s="16" t="s">
        <v>24</v>
      </c>
      <c r="D9" s="16" t="s">
        <v>42</v>
      </c>
      <c r="E9" s="17" t="n">
        <v>0.5</v>
      </c>
      <c r="F9" s="17" t="n">
        <v>1.5</v>
      </c>
      <c r="G9" s="17" t="n">
        <v>3</v>
      </c>
      <c r="H9" s="16" t="s">
        <v>44</v>
      </c>
      <c r="I9" s="17" t="n">
        <v>0.4</v>
      </c>
      <c r="J9" s="17" t="n">
        <v>1.2</v>
      </c>
      <c r="K9" s="17" t="n">
        <v>2.5</v>
      </c>
    </row>
    <row r="10" customFormat="false" ht="15" hidden="false" customHeight="true" outlineLevel="0" collapsed="false">
      <c r="A10" s="16" t="n">
        <v>3</v>
      </c>
      <c r="B10" s="16" t="s">
        <v>22</v>
      </c>
      <c r="C10" s="16" t="s">
        <v>25</v>
      </c>
      <c r="D10" s="16" t="s">
        <v>45</v>
      </c>
      <c r="E10" s="17" t="n">
        <v>0.1</v>
      </c>
      <c r="F10" s="17" t="n">
        <v>0.4</v>
      </c>
      <c r="G10" s="17" t="n">
        <v>1</v>
      </c>
      <c r="H10" s="16" t="s">
        <v>46</v>
      </c>
      <c r="I10" s="17" t="n">
        <v>0.2</v>
      </c>
      <c r="J10" s="17" t="n">
        <v>0.6</v>
      </c>
      <c r="K10" s="17" t="n">
        <v>1.3</v>
      </c>
    </row>
    <row r="11" customFormat="false" ht="15" hidden="false" customHeight="true" outlineLevel="0" collapsed="false">
      <c r="A11" s="16" t="n">
        <v>4</v>
      </c>
      <c r="B11" s="16" t="s">
        <v>22</v>
      </c>
      <c r="C11" s="16" t="s">
        <v>26</v>
      </c>
      <c r="D11" s="16" t="s">
        <v>42</v>
      </c>
      <c r="E11" s="17" t="n">
        <v>0.5</v>
      </c>
      <c r="F11" s="17" t="n">
        <v>1.5</v>
      </c>
      <c r="G11" s="17" t="n">
        <v>3</v>
      </c>
      <c r="H11" s="16" t="s">
        <v>46</v>
      </c>
      <c r="I11" s="17" t="n">
        <v>0.2</v>
      </c>
      <c r="J11" s="17" t="n">
        <v>0.6</v>
      </c>
      <c r="K11" s="17" t="n">
        <v>1.3</v>
      </c>
    </row>
    <row r="12" customFormat="false" ht="15" hidden="false" customHeight="true" outlineLevel="0" collapsed="false">
      <c r="A12" s="16" t="n">
        <v>5</v>
      </c>
      <c r="B12" s="16" t="s">
        <v>23</v>
      </c>
      <c r="C12" s="16" t="s">
        <v>22</v>
      </c>
      <c r="D12" s="16" t="s">
        <v>45</v>
      </c>
      <c r="E12" s="17" t="n">
        <v>0.1</v>
      </c>
      <c r="F12" s="17" t="n">
        <v>0.4</v>
      </c>
      <c r="G12" s="17" t="n">
        <v>1</v>
      </c>
      <c r="H12" s="16" t="s">
        <v>46</v>
      </c>
      <c r="I12" s="17" t="n">
        <v>0.2</v>
      </c>
      <c r="J12" s="17" t="n">
        <v>0.6</v>
      </c>
      <c r="K12" s="17" t="n">
        <v>1.3</v>
      </c>
    </row>
    <row r="13" customFormat="false" ht="15" hidden="false" customHeight="true" outlineLevel="0" collapsed="false">
      <c r="A13" s="16" t="n">
        <v>6</v>
      </c>
      <c r="B13" s="16" t="s">
        <v>23</v>
      </c>
      <c r="C13" s="16" t="s">
        <v>24</v>
      </c>
      <c r="D13" s="16" t="s">
        <v>42</v>
      </c>
      <c r="E13" s="17" t="n">
        <v>0.5</v>
      </c>
      <c r="F13" s="17" t="n">
        <v>1.5</v>
      </c>
      <c r="G13" s="17" t="n">
        <v>3</v>
      </c>
      <c r="H13" s="16" t="s">
        <v>44</v>
      </c>
      <c r="I13" s="17" t="n">
        <v>0.4</v>
      </c>
      <c r="J13" s="17" t="n">
        <v>1.2</v>
      </c>
      <c r="K13" s="17" t="n">
        <v>2.5</v>
      </c>
    </row>
    <row r="14" customFormat="false" ht="15" hidden="false" customHeight="true" outlineLevel="0" collapsed="false">
      <c r="A14" s="16" t="n">
        <v>7</v>
      </c>
      <c r="B14" s="16" t="s">
        <v>23</v>
      </c>
      <c r="C14" s="16" t="s">
        <v>25</v>
      </c>
      <c r="D14" s="16" t="s">
        <v>47</v>
      </c>
      <c r="E14" s="17" t="n">
        <v>-2.5</v>
      </c>
      <c r="F14" s="17" t="n">
        <v>-1</v>
      </c>
      <c r="G14" s="17" t="n">
        <v>-0.3</v>
      </c>
      <c r="H14" s="16" t="s">
        <v>44</v>
      </c>
      <c r="I14" s="17" t="n">
        <v>0.4</v>
      </c>
      <c r="J14" s="17" t="n">
        <v>1.2</v>
      </c>
      <c r="K14" s="17" t="n">
        <v>2.5</v>
      </c>
    </row>
    <row r="15" customFormat="false" ht="15" hidden="false" customHeight="true" outlineLevel="0" collapsed="false">
      <c r="A15" s="16" t="n">
        <v>8</v>
      </c>
      <c r="B15" s="16" t="s">
        <v>23</v>
      </c>
      <c r="C15" s="16" t="s">
        <v>26</v>
      </c>
      <c r="D15" s="16" t="s">
        <v>42</v>
      </c>
      <c r="E15" s="17" t="n">
        <v>0.5</v>
      </c>
      <c r="F15" s="17" t="n">
        <v>1.5</v>
      </c>
      <c r="G15" s="17" t="n">
        <v>3</v>
      </c>
      <c r="H15" s="16" t="s">
        <v>46</v>
      </c>
      <c r="I15" s="17" t="n">
        <v>0.2</v>
      </c>
      <c r="J15" s="17" t="n">
        <v>0.6</v>
      </c>
      <c r="K15" s="17" t="n">
        <v>1.3</v>
      </c>
    </row>
    <row r="16" customFormat="false" ht="15" hidden="false" customHeight="true" outlineLevel="0" collapsed="false">
      <c r="A16" s="16" t="n">
        <v>9</v>
      </c>
      <c r="B16" s="16" t="s">
        <v>24</v>
      </c>
      <c r="C16" s="16" t="s">
        <v>22</v>
      </c>
      <c r="D16" s="16" t="s">
        <v>45</v>
      </c>
      <c r="E16" s="17" t="n">
        <v>0.1</v>
      </c>
      <c r="F16" s="17" t="n">
        <v>0.4</v>
      </c>
      <c r="G16" s="17" t="n">
        <v>1</v>
      </c>
      <c r="H16" s="16" t="s">
        <v>46</v>
      </c>
      <c r="I16" s="17" t="n">
        <v>0.2</v>
      </c>
      <c r="J16" s="17" t="n">
        <v>0.6</v>
      </c>
      <c r="K16" s="17" t="n">
        <v>1.3</v>
      </c>
    </row>
    <row r="17" customFormat="false" ht="15" hidden="false" customHeight="true" outlineLevel="0" collapsed="false">
      <c r="A17" s="16" t="n">
        <v>10</v>
      </c>
      <c r="B17" s="16" t="s">
        <v>24</v>
      </c>
      <c r="C17" s="16" t="s">
        <v>23</v>
      </c>
      <c r="D17" s="16" t="s">
        <v>42</v>
      </c>
      <c r="E17" s="17" t="n">
        <v>0.5</v>
      </c>
      <c r="F17" s="17" t="n">
        <v>1.5</v>
      </c>
      <c r="G17" s="17" t="n">
        <v>3</v>
      </c>
      <c r="H17" s="16" t="s">
        <v>44</v>
      </c>
      <c r="I17" s="17" t="n">
        <v>0.4</v>
      </c>
      <c r="J17" s="17" t="n">
        <v>1.2</v>
      </c>
      <c r="K17" s="17" t="n">
        <v>2.5</v>
      </c>
    </row>
    <row r="18" customFormat="false" ht="15" hidden="false" customHeight="true" outlineLevel="0" collapsed="false">
      <c r="A18" s="16" t="n">
        <v>11</v>
      </c>
      <c r="B18" s="16" t="s">
        <v>24</v>
      </c>
      <c r="C18" s="16" t="s">
        <v>25</v>
      </c>
      <c r="D18" s="16" t="s">
        <v>45</v>
      </c>
      <c r="E18" s="17" t="n">
        <v>0.1</v>
      </c>
      <c r="F18" s="17" t="n">
        <v>0.4</v>
      </c>
      <c r="G18" s="17" t="n">
        <v>1</v>
      </c>
      <c r="H18" s="16" t="s">
        <v>44</v>
      </c>
      <c r="I18" s="17" t="n">
        <v>0.4</v>
      </c>
      <c r="J18" s="17" t="n">
        <v>1.2</v>
      </c>
      <c r="K18" s="17" t="n">
        <v>2.5</v>
      </c>
    </row>
    <row r="19" customFormat="false" ht="15" hidden="false" customHeight="true" outlineLevel="0" collapsed="false">
      <c r="A19" s="16" t="n">
        <v>12</v>
      </c>
      <c r="B19" s="16" t="s">
        <v>24</v>
      </c>
      <c r="C19" s="16" t="s">
        <v>26</v>
      </c>
      <c r="D19" s="16" t="s">
        <v>48</v>
      </c>
      <c r="E19" s="17" t="n">
        <v>2</v>
      </c>
      <c r="F19" s="17" t="n">
        <v>4</v>
      </c>
      <c r="G19" s="17" t="n">
        <v>7</v>
      </c>
      <c r="H19" s="16" t="s">
        <v>49</v>
      </c>
      <c r="I19" s="17" t="n">
        <v>2</v>
      </c>
      <c r="J19" s="17" t="n">
        <v>4</v>
      </c>
      <c r="K19" s="17" t="n">
        <v>7</v>
      </c>
    </row>
    <row r="20" customFormat="false" ht="15" hidden="false" customHeight="true" outlineLevel="0" collapsed="false">
      <c r="A20" s="16" t="n">
        <v>13</v>
      </c>
      <c r="B20" s="16" t="s">
        <v>25</v>
      </c>
      <c r="C20" s="16" t="s">
        <v>22</v>
      </c>
      <c r="D20" s="16" t="s">
        <v>45</v>
      </c>
      <c r="E20" s="17" t="n">
        <v>0.1</v>
      </c>
      <c r="F20" s="17" t="n">
        <v>0.4</v>
      </c>
      <c r="G20" s="17" t="n">
        <v>1</v>
      </c>
      <c r="H20" s="16" t="s">
        <v>46</v>
      </c>
      <c r="I20" s="17" t="n">
        <v>0.2</v>
      </c>
      <c r="J20" s="17" t="n">
        <v>0.6</v>
      </c>
      <c r="K20" s="17" t="n">
        <v>1.3</v>
      </c>
    </row>
    <row r="21" customFormat="false" ht="15" hidden="false" customHeight="true" outlineLevel="0" collapsed="false">
      <c r="A21" s="16" t="n">
        <v>14</v>
      </c>
      <c r="B21" s="16" t="s">
        <v>25</v>
      </c>
      <c r="C21" s="16" t="s">
        <v>23</v>
      </c>
      <c r="D21" s="16" t="s">
        <v>42</v>
      </c>
      <c r="E21" s="17" t="n">
        <v>0.5</v>
      </c>
      <c r="F21" s="17" t="n">
        <v>1.5</v>
      </c>
      <c r="G21" s="17" t="n">
        <v>3</v>
      </c>
      <c r="H21" s="16" t="s">
        <v>44</v>
      </c>
      <c r="I21" s="17" t="n">
        <v>0.4</v>
      </c>
      <c r="J21" s="17" t="n">
        <v>1.2</v>
      </c>
      <c r="K21" s="17" t="n">
        <v>2.5</v>
      </c>
    </row>
    <row r="22" customFormat="false" ht="15" hidden="false" customHeight="true" outlineLevel="0" collapsed="false">
      <c r="A22" s="16" t="n">
        <v>15</v>
      </c>
      <c r="B22" s="16" t="s">
        <v>25</v>
      </c>
      <c r="C22" s="16" t="s">
        <v>24</v>
      </c>
      <c r="D22" s="16" t="s">
        <v>45</v>
      </c>
      <c r="E22" s="17" t="n">
        <v>0.1</v>
      </c>
      <c r="F22" s="17" t="n">
        <v>0.4</v>
      </c>
      <c r="G22" s="17" t="n">
        <v>1</v>
      </c>
      <c r="H22" s="16" t="s">
        <v>46</v>
      </c>
      <c r="I22" s="17" t="n">
        <v>0.2</v>
      </c>
      <c r="J22" s="17" t="n">
        <v>0.6</v>
      </c>
      <c r="K22" s="17" t="n">
        <v>1.3</v>
      </c>
    </row>
    <row r="23" customFormat="false" ht="15" hidden="false" customHeight="true" outlineLevel="0" collapsed="false">
      <c r="A23" s="16" t="n">
        <v>16</v>
      </c>
      <c r="B23" s="16" t="s">
        <v>25</v>
      </c>
      <c r="C23" s="16" t="s">
        <v>26</v>
      </c>
      <c r="D23" s="16" t="s">
        <v>47</v>
      </c>
      <c r="E23" s="17" t="n">
        <v>-2.5</v>
      </c>
      <c r="F23" s="17" t="n">
        <v>-1</v>
      </c>
      <c r="G23" s="17" t="n">
        <v>-0.3</v>
      </c>
      <c r="H23" s="16" t="s">
        <v>44</v>
      </c>
      <c r="I23" s="17" t="n">
        <v>0.4</v>
      </c>
      <c r="J23" s="17" t="n">
        <v>1.2</v>
      </c>
      <c r="K23" s="17" t="n">
        <v>2.5</v>
      </c>
    </row>
    <row r="24" customFormat="false" ht="15" hidden="false" customHeight="true" outlineLevel="0" collapsed="false">
      <c r="A24" s="16" t="n">
        <v>17</v>
      </c>
      <c r="B24" s="16" t="s">
        <v>26</v>
      </c>
      <c r="C24" s="16" t="s">
        <v>22</v>
      </c>
      <c r="D24" s="16" t="s">
        <v>45</v>
      </c>
      <c r="E24" s="17" t="n">
        <v>0.1</v>
      </c>
      <c r="F24" s="17" t="n">
        <v>0.4</v>
      </c>
      <c r="G24" s="17" t="n">
        <v>1</v>
      </c>
      <c r="H24" s="16" t="s">
        <v>46</v>
      </c>
      <c r="I24" s="17" t="n">
        <v>0.2</v>
      </c>
      <c r="J24" s="17" t="n">
        <v>0.6</v>
      </c>
      <c r="K24" s="17" t="n">
        <v>1.3</v>
      </c>
    </row>
    <row r="25" customFormat="false" ht="15" hidden="false" customHeight="true" outlineLevel="0" collapsed="false">
      <c r="A25" s="16" t="n">
        <v>18</v>
      </c>
      <c r="B25" s="16" t="s">
        <v>26</v>
      </c>
      <c r="C25" s="16" t="s">
        <v>23</v>
      </c>
      <c r="D25" s="16" t="s">
        <v>48</v>
      </c>
      <c r="E25" s="17" t="n">
        <v>2</v>
      </c>
      <c r="F25" s="17" t="n">
        <v>4</v>
      </c>
      <c r="G25" s="17" t="n">
        <v>7</v>
      </c>
      <c r="H25" s="16" t="s">
        <v>46</v>
      </c>
      <c r="I25" s="17" t="n">
        <v>0.2</v>
      </c>
      <c r="J25" s="17" t="n">
        <v>0.6</v>
      </c>
      <c r="K25" s="17" t="n">
        <v>1.3</v>
      </c>
    </row>
    <row r="26" customFormat="false" ht="15" hidden="false" customHeight="true" outlineLevel="0" collapsed="false">
      <c r="A26" s="16" t="n">
        <v>19</v>
      </c>
      <c r="B26" s="16" t="s">
        <v>26</v>
      </c>
      <c r="C26" s="16" t="s">
        <v>24</v>
      </c>
      <c r="D26" s="16" t="s">
        <v>45</v>
      </c>
      <c r="E26" s="17" t="n">
        <v>0.1</v>
      </c>
      <c r="F26" s="17" t="n">
        <v>0.4</v>
      </c>
      <c r="G26" s="17" t="n">
        <v>1</v>
      </c>
      <c r="H26" s="16" t="s">
        <v>50</v>
      </c>
      <c r="I26" s="17" t="n">
        <v>1.5</v>
      </c>
      <c r="J26" s="17" t="n">
        <v>3</v>
      </c>
      <c r="K26" s="17" t="n">
        <v>5.5</v>
      </c>
    </row>
    <row r="27" customFormat="false" ht="15" hidden="false" customHeight="true" outlineLevel="0" collapsed="false">
      <c r="A27" s="16" t="n">
        <v>20</v>
      </c>
      <c r="B27" s="16" t="s">
        <v>26</v>
      </c>
      <c r="C27" s="16" t="s">
        <v>25</v>
      </c>
      <c r="D27" s="16" t="s">
        <v>45</v>
      </c>
      <c r="E27" s="17" t="n">
        <v>0.1</v>
      </c>
      <c r="F27" s="17" t="n">
        <v>0.4</v>
      </c>
      <c r="G27" s="17" t="n">
        <v>1</v>
      </c>
      <c r="H27" s="16" t="s">
        <v>46</v>
      </c>
      <c r="I27" s="17" t="n">
        <v>0.2</v>
      </c>
      <c r="J27" s="17" t="n">
        <v>0.6</v>
      </c>
      <c r="K27" s="17" t="n">
        <v>1.3</v>
      </c>
    </row>
  </sheetData>
  <mergeCells count="2">
    <mergeCell ref="A2:I2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26"/>
    <col collapsed="false" customWidth="true" hidden="false" outlineLevel="0" max="11" min="4" style="1" width="10"/>
  </cols>
  <sheetData>
    <row r="1" customFormat="false" ht="15.75" hidden="false" customHeight="true" outlineLevel="0" collapsed="false">
      <c r="A1" s="2" t="s">
        <v>51</v>
      </c>
    </row>
    <row r="2" customFormat="false" ht="15" hidden="false" customHeight="true" outlineLevel="0" collapsed="false">
      <c r="A2" s="18" t="s">
        <v>52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customFormat="false" ht="23.25" hidden="false" customHeight="true" outlineLevel="0" collapsed="false">
      <c r="A4" s="19" t="s">
        <v>31</v>
      </c>
      <c r="B4" s="19" t="s">
        <v>53</v>
      </c>
      <c r="C4" s="19" t="s">
        <v>54</v>
      </c>
      <c r="D4" s="19" t="s">
        <v>55</v>
      </c>
      <c r="E4" s="19" t="s">
        <v>56</v>
      </c>
      <c r="F4" s="19" t="s">
        <v>57</v>
      </c>
      <c r="G4" s="19" t="s">
        <v>58</v>
      </c>
      <c r="H4" s="19" t="s">
        <v>59</v>
      </c>
      <c r="I4" s="19" t="s">
        <v>60</v>
      </c>
      <c r="J4" s="19" t="s">
        <v>61</v>
      </c>
      <c r="K4" s="19" t="s">
        <v>62</v>
      </c>
    </row>
    <row r="5" customFormat="false" ht="15" hidden="false" customHeight="true" outlineLevel="0" collapsed="false">
      <c r="A5" s="16" t="n">
        <v>1</v>
      </c>
      <c r="B5" s="16" t="s">
        <v>22</v>
      </c>
      <c r="C5" s="16" t="s">
        <v>23</v>
      </c>
      <c r="D5" s="20" t="n">
        <v>0.988762966822991</v>
      </c>
      <c r="E5" s="20" t="n">
        <v>1.70038572264611</v>
      </c>
      <c r="F5" s="20" t="n">
        <v>2.67894513299023</v>
      </c>
      <c r="G5" s="20" t="n">
        <v>1.77860013140405</v>
      </c>
      <c r="H5" s="20" t="n">
        <v>2.21423060743869</v>
      </c>
      <c r="I5" s="20" t="n">
        <v>3.41441423420655</v>
      </c>
      <c r="J5" s="20" t="n">
        <v>5.08577257078458</v>
      </c>
      <c r="K5" s="20" t="n">
        <v>3.56029289645566</v>
      </c>
    </row>
    <row r="6" customFormat="false" ht="15" hidden="false" customHeight="true" outlineLevel="0" collapsed="false">
      <c r="A6" s="16" t="n">
        <v>2</v>
      </c>
      <c r="B6" s="16" t="s">
        <v>22</v>
      </c>
      <c r="C6" s="16" t="s">
        <v>24</v>
      </c>
      <c r="D6" s="20" t="n">
        <v>0.993565027578642</v>
      </c>
      <c r="E6" s="20" t="n">
        <v>1.71015495829621</v>
      </c>
      <c r="F6" s="20" t="n">
        <v>2.68359924421261</v>
      </c>
      <c r="G6" s="20" t="n">
        <v>1.78861322029104</v>
      </c>
      <c r="H6" s="20" t="n">
        <v>0.794158536134725</v>
      </c>
      <c r="I6" s="20" t="n">
        <v>1.38058661755363</v>
      </c>
      <c r="J6" s="20" t="n">
        <v>2.21589135635064</v>
      </c>
      <c r="K6" s="20" t="n">
        <v>1.4557542936881</v>
      </c>
    </row>
    <row r="7" customFormat="false" ht="15" hidden="false" customHeight="true" outlineLevel="0" collapsed="false">
      <c r="A7" s="16" t="n">
        <v>3</v>
      </c>
      <c r="B7" s="16" t="s">
        <v>22</v>
      </c>
      <c r="C7" s="16" t="s">
        <v>25</v>
      </c>
      <c r="D7" s="20" t="n">
        <v>0.261516347662508</v>
      </c>
      <c r="E7" s="20" t="n">
        <v>0.499503471774296</v>
      </c>
      <c r="F7" s="20" t="n">
        <v>0.8560294962137</v>
      </c>
      <c r="G7" s="20" t="n">
        <v>0.533889943712932</v>
      </c>
      <c r="H7" s="20" t="n">
        <v>0.408129785284574</v>
      </c>
      <c r="I7" s="20" t="n">
        <v>0.714234335410054</v>
      </c>
      <c r="J7" s="20" t="n">
        <v>1.14725206191344</v>
      </c>
      <c r="K7" s="20" t="n">
        <v>0.750495852651901</v>
      </c>
    </row>
    <row r="8" customFormat="false" ht="15" hidden="false" customHeight="true" outlineLevel="0" collapsed="false">
      <c r="A8" s="16" t="n">
        <v>4</v>
      </c>
      <c r="B8" s="16" t="s">
        <v>22</v>
      </c>
      <c r="C8" s="16" t="s">
        <v>26</v>
      </c>
      <c r="D8" s="20" t="n">
        <v>0.983538533525935</v>
      </c>
      <c r="E8" s="20" t="n">
        <v>1.68995684517104</v>
      </c>
      <c r="F8" s="20" t="n">
        <v>2.68254741648218</v>
      </c>
      <c r="G8" s="20" t="n">
        <v>1.77515762954531</v>
      </c>
      <c r="H8" s="20" t="n">
        <v>0.403492248318659</v>
      </c>
      <c r="I8" s="20" t="n">
        <v>0.705616026743281</v>
      </c>
      <c r="J8" s="20" t="n">
        <v>1.13902491201576</v>
      </c>
      <c r="K8" s="20" t="n">
        <v>0.74511485141276</v>
      </c>
    </row>
    <row r="9" customFormat="false" ht="15" hidden="false" customHeight="true" outlineLevel="0" collapsed="false">
      <c r="A9" s="16" t="n">
        <v>5</v>
      </c>
      <c r="B9" s="16" t="s">
        <v>23</v>
      </c>
      <c r="C9" s="16" t="s">
        <v>22</v>
      </c>
      <c r="D9" s="20" t="n">
        <v>0.262793410978676</v>
      </c>
      <c r="E9" s="20" t="n">
        <v>0.501310911388471</v>
      </c>
      <c r="F9" s="20" t="n">
        <v>0.849605893916784</v>
      </c>
      <c r="G9" s="20" t="n">
        <v>0.53232537034602</v>
      </c>
      <c r="H9" s="20" t="n">
        <v>0.408392678803502</v>
      </c>
      <c r="I9" s="20" t="n">
        <v>0.70541154359995</v>
      </c>
      <c r="J9" s="20" t="n">
        <v>1.14487566766572</v>
      </c>
      <c r="K9" s="20" t="n">
        <v>0.746958325750097</v>
      </c>
    </row>
    <row r="10" customFormat="false" ht="15" hidden="false" customHeight="true" outlineLevel="0" collapsed="false">
      <c r="A10" s="16" t="n">
        <v>6</v>
      </c>
      <c r="B10" s="16" t="s">
        <v>23</v>
      </c>
      <c r="C10" s="16" t="s">
        <v>24</v>
      </c>
      <c r="D10" s="20" t="n">
        <v>0.995839741460354</v>
      </c>
      <c r="E10" s="20" t="n">
        <v>1.7157396828064</v>
      </c>
      <c r="F10" s="20" t="n">
        <v>2.70689436419797</v>
      </c>
      <c r="G10" s="20" t="n">
        <v>1.79437343963678</v>
      </c>
      <c r="H10" s="20" t="n">
        <v>0.80148409553651</v>
      </c>
      <c r="I10" s="20" t="n">
        <v>1.39680712266182</v>
      </c>
      <c r="J10" s="20" t="n">
        <v>2.218851936878</v>
      </c>
      <c r="K10" s="20" t="n">
        <v>1.46214804913417</v>
      </c>
    </row>
    <row r="11" customFormat="false" ht="15" hidden="false" customHeight="true" outlineLevel="0" collapsed="false">
      <c r="A11" s="16" t="n">
        <v>7</v>
      </c>
      <c r="B11" s="16" t="s">
        <v>23</v>
      </c>
      <c r="C11" s="16" t="s">
        <v>25</v>
      </c>
      <c r="D11" s="21" t="n">
        <v>-2.14839148192037</v>
      </c>
      <c r="E11" s="21" t="n">
        <v>-1.28560622270259</v>
      </c>
      <c r="F11" s="21" t="n">
        <v>-0.684704613969742</v>
      </c>
      <c r="G11" s="21" t="n">
        <v>-1.36147176335103</v>
      </c>
      <c r="H11" s="20" t="n">
        <v>0.80045927336772</v>
      </c>
      <c r="I11" s="20" t="n">
        <v>1.38412579263827</v>
      </c>
      <c r="J11" s="20" t="n">
        <v>2.23088268047594</v>
      </c>
      <c r="K11" s="20" t="n">
        <v>1.46176767571332</v>
      </c>
    </row>
    <row r="12" customFormat="false" ht="15" hidden="false" customHeight="true" outlineLevel="0" collapsed="false">
      <c r="A12" s="16" t="n">
        <v>8</v>
      </c>
      <c r="B12" s="16" t="s">
        <v>23</v>
      </c>
      <c r="C12" s="16" t="s">
        <v>26</v>
      </c>
      <c r="D12" s="20" t="n">
        <v>0.997513242817965</v>
      </c>
      <c r="E12" s="20" t="n">
        <v>1.6892934576329</v>
      </c>
      <c r="F12" s="20" t="n">
        <v>2.66618665153072</v>
      </c>
      <c r="G12" s="20" t="n">
        <v>1.77342607135847</v>
      </c>
      <c r="H12" s="20" t="n">
        <v>0.410979701968292</v>
      </c>
      <c r="I12" s="20" t="n">
        <v>0.715783741554077</v>
      </c>
      <c r="J12" s="20" t="n">
        <v>1.14452685454548</v>
      </c>
      <c r="K12" s="20" t="n">
        <v>0.750945345120358</v>
      </c>
    </row>
    <row r="13" customFormat="false" ht="15" hidden="false" customHeight="true" outlineLevel="0" collapsed="false">
      <c r="A13" s="16" t="n">
        <v>9</v>
      </c>
      <c r="B13" s="16" t="s">
        <v>24</v>
      </c>
      <c r="C13" s="16" t="s">
        <v>22</v>
      </c>
      <c r="D13" s="20" t="n">
        <v>0.262942582369869</v>
      </c>
      <c r="E13" s="20" t="n">
        <v>0.502237595954356</v>
      </c>
      <c r="F13" s="20" t="n">
        <v>0.851803052558321</v>
      </c>
      <c r="G13" s="20" t="n">
        <v>0.535109531286011</v>
      </c>
      <c r="H13" s="20" t="n">
        <v>0.406870529450365</v>
      </c>
      <c r="I13" s="20" t="n">
        <v>0.71247953217116</v>
      </c>
      <c r="J13" s="20" t="n">
        <v>1.13649351892977</v>
      </c>
      <c r="K13" s="20" t="n">
        <v>0.747453613673896</v>
      </c>
    </row>
    <row r="14" customFormat="false" ht="15" hidden="false" customHeight="true" outlineLevel="0" collapsed="false">
      <c r="A14" s="16" t="n">
        <v>10</v>
      </c>
      <c r="B14" s="16" t="s">
        <v>24</v>
      </c>
      <c r="C14" s="16" t="s">
        <v>23</v>
      </c>
      <c r="D14" s="20" t="n">
        <v>0.98427687077321</v>
      </c>
      <c r="E14" s="20" t="n">
        <v>1.70879923195966</v>
      </c>
      <c r="F14" s="20" t="n">
        <v>2.70890336759711</v>
      </c>
      <c r="G14" s="20" t="n">
        <v>1.78797379108407</v>
      </c>
      <c r="H14" s="20" t="n">
        <v>0.801346044369974</v>
      </c>
      <c r="I14" s="20" t="n">
        <v>1.38954625168268</v>
      </c>
      <c r="J14" s="20" t="n">
        <v>2.20140408083734</v>
      </c>
      <c r="K14" s="20" t="n">
        <v>1.46012861831576</v>
      </c>
    </row>
    <row r="15" customFormat="false" ht="15" hidden="false" customHeight="true" outlineLevel="0" collapsed="false">
      <c r="A15" s="16" t="n">
        <v>11</v>
      </c>
      <c r="B15" s="16" t="s">
        <v>24</v>
      </c>
      <c r="C15" s="16" t="s">
        <v>25</v>
      </c>
      <c r="D15" s="20" t="n">
        <v>0.263509530068203</v>
      </c>
      <c r="E15" s="20" t="n">
        <v>0.500029379898615</v>
      </c>
      <c r="F15" s="20" t="n">
        <v>0.850389186716009</v>
      </c>
      <c r="G15" s="20" t="n">
        <v>0.533368080293549</v>
      </c>
      <c r="H15" s="20" t="n">
        <v>0.785396204824072</v>
      </c>
      <c r="I15" s="20" t="n">
        <v>1.39994745231212</v>
      </c>
      <c r="J15" s="20" t="n">
        <v>2.20539477963496</v>
      </c>
      <c r="K15" s="20" t="n">
        <v>1.46019544769799</v>
      </c>
    </row>
    <row r="16" customFormat="false" ht="15" hidden="false" customHeight="true" outlineLevel="0" collapsed="false">
      <c r="A16" s="16" t="n">
        <v>12</v>
      </c>
      <c r="B16" s="16" t="s">
        <v>24</v>
      </c>
      <c r="C16" s="16" t="s">
        <v>26</v>
      </c>
      <c r="D16" s="20" t="n">
        <v>2.90674031710158</v>
      </c>
      <c r="E16" s="20" t="n">
        <v>4.46369536504585</v>
      </c>
      <c r="F16" s="20" t="n">
        <v>6.62453642441279</v>
      </c>
      <c r="G16" s="20" t="n">
        <v>4.63431536207124</v>
      </c>
      <c r="H16" s="20" t="n">
        <v>2.91545655727895</v>
      </c>
      <c r="I16" s="20" t="n">
        <v>4.4740267761803</v>
      </c>
      <c r="J16" s="20" t="n">
        <v>6.56793420157216</v>
      </c>
      <c r="K16" s="20" t="n">
        <v>4.63524590224339</v>
      </c>
    </row>
    <row r="17" customFormat="false" ht="15" hidden="false" customHeight="true" outlineLevel="0" collapsed="false">
      <c r="A17" s="16" t="n">
        <v>13</v>
      </c>
      <c r="B17" s="16" t="s">
        <v>25</v>
      </c>
      <c r="C17" s="16" t="s">
        <v>22</v>
      </c>
      <c r="D17" s="20" t="n">
        <v>0.264639644701573</v>
      </c>
      <c r="E17" s="20" t="n">
        <v>0.498232861191043</v>
      </c>
      <c r="F17" s="20" t="n">
        <v>0.846711551996157</v>
      </c>
      <c r="G17" s="20" t="n">
        <v>0.532464660365742</v>
      </c>
      <c r="H17" s="20" t="n">
        <v>0.404281529153266</v>
      </c>
      <c r="I17" s="20" t="n">
        <v>0.705954238970721</v>
      </c>
      <c r="J17" s="20" t="n">
        <v>1.14448219836534</v>
      </c>
      <c r="K17" s="20" t="n">
        <v>0.74541707959787</v>
      </c>
    </row>
    <row r="18" customFormat="false" ht="15" hidden="false" customHeight="true" outlineLevel="0" collapsed="false">
      <c r="A18" s="16" t="n">
        <v>14</v>
      </c>
      <c r="B18" s="16" t="s">
        <v>25</v>
      </c>
      <c r="C18" s="16" t="s">
        <v>23</v>
      </c>
      <c r="D18" s="20" t="n">
        <v>0.992495830166403</v>
      </c>
      <c r="E18" s="20" t="n">
        <v>1.70502540724964</v>
      </c>
      <c r="F18" s="20" t="n">
        <v>2.677798575501</v>
      </c>
      <c r="G18" s="20" t="n">
        <v>1.78493305968257</v>
      </c>
      <c r="H18" s="20" t="n">
        <v>0.799267622460081</v>
      </c>
      <c r="I18" s="20" t="n">
        <v>1.39580116908321</v>
      </c>
      <c r="J18" s="20" t="n">
        <v>2.20862305749935</v>
      </c>
      <c r="K18" s="20" t="n">
        <v>1.46154490453347</v>
      </c>
    </row>
    <row r="19" customFormat="false" ht="15" hidden="false" customHeight="true" outlineLevel="0" collapsed="false">
      <c r="A19" s="16" t="n">
        <v>15</v>
      </c>
      <c r="B19" s="16" t="s">
        <v>25</v>
      </c>
      <c r="C19" s="16" t="s">
        <v>24</v>
      </c>
      <c r="D19" s="20" t="n">
        <v>0.258990512976953</v>
      </c>
      <c r="E19" s="20" t="n">
        <v>0.496332374665348</v>
      </c>
      <c r="F19" s="20" t="n">
        <v>0.853680626379209</v>
      </c>
      <c r="G19" s="20" t="n">
        <v>0.531076614717095</v>
      </c>
      <c r="H19" s="20" t="n">
        <v>0.398919023796807</v>
      </c>
      <c r="I19" s="20" t="n">
        <v>0.712062505278245</v>
      </c>
      <c r="J19" s="20" t="n">
        <v>1.1523861846341</v>
      </c>
      <c r="K19" s="20" t="n">
        <v>0.750557457774531</v>
      </c>
    </row>
    <row r="20" customFormat="false" ht="15" hidden="false" customHeight="true" outlineLevel="0" collapsed="false">
      <c r="A20" s="16" t="n">
        <v>16</v>
      </c>
      <c r="B20" s="16" t="s">
        <v>25</v>
      </c>
      <c r="C20" s="16" t="s">
        <v>26</v>
      </c>
      <c r="D20" s="21" t="n">
        <v>-2.13086121781419</v>
      </c>
      <c r="E20" s="21" t="n">
        <v>-1.27549169370227</v>
      </c>
      <c r="F20" s="21" t="n">
        <v>-0.687146517346299</v>
      </c>
      <c r="G20" s="21" t="n">
        <v>-1.35531504414594</v>
      </c>
      <c r="H20" s="20" t="n">
        <v>0.800902741025863</v>
      </c>
      <c r="I20" s="20" t="n">
        <v>1.38560915384949</v>
      </c>
      <c r="J20" s="20" t="n">
        <v>2.20544125278637</v>
      </c>
      <c r="K20" s="20" t="n">
        <v>1.456389751972</v>
      </c>
    </row>
    <row r="21" customFormat="false" ht="15" hidden="false" customHeight="true" outlineLevel="0" collapsed="false">
      <c r="A21" s="16" t="n">
        <v>17</v>
      </c>
      <c r="B21" s="16" t="s">
        <v>26</v>
      </c>
      <c r="C21" s="16" t="s">
        <v>22</v>
      </c>
      <c r="D21" s="20" t="n">
        <v>0.263023601906519</v>
      </c>
      <c r="E21" s="20" t="n">
        <v>0.503467892742723</v>
      </c>
      <c r="F21" s="20" t="n">
        <v>0.852064970110365</v>
      </c>
      <c r="G21" s="20" t="n">
        <v>0.535415801858108</v>
      </c>
      <c r="H21" s="20" t="n">
        <v>0.40081788624846</v>
      </c>
      <c r="I21" s="20" t="n">
        <v>0.707003637964167</v>
      </c>
      <c r="J21" s="20" t="n">
        <v>1.13575933629058</v>
      </c>
      <c r="K21" s="20" t="n">
        <v>0.745599069761339</v>
      </c>
    </row>
    <row r="22" customFormat="false" ht="15" hidden="false" customHeight="true" outlineLevel="0" collapsed="false">
      <c r="A22" s="16" t="n">
        <v>18</v>
      </c>
      <c r="B22" s="16" t="s">
        <v>26</v>
      </c>
      <c r="C22" s="16" t="s">
        <v>23</v>
      </c>
      <c r="D22" s="20" t="n">
        <v>2.91405004732742</v>
      </c>
      <c r="E22" s="20" t="n">
        <v>4.4628097388993</v>
      </c>
      <c r="F22" s="20" t="n">
        <v>6.58205719479567</v>
      </c>
      <c r="G22" s="20" t="n">
        <v>4.62079238892566</v>
      </c>
      <c r="H22" s="20" t="n">
        <v>0.403761581319916</v>
      </c>
      <c r="I22" s="20" t="n">
        <v>0.707573101523257</v>
      </c>
      <c r="J22" s="20" t="n">
        <v>1.13924676017499</v>
      </c>
      <c r="K22" s="20" t="n">
        <v>0.747355359968287</v>
      </c>
    </row>
    <row r="23" customFormat="false" ht="15" hidden="false" customHeight="true" outlineLevel="0" collapsed="false">
      <c r="A23" s="16" t="n">
        <v>19</v>
      </c>
      <c r="B23" s="16" t="s">
        <v>26</v>
      </c>
      <c r="C23" s="16" t="s">
        <v>24</v>
      </c>
      <c r="D23" s="20" t="n">
        <v>0.264711875053704</v>
      </c>
      <c r="E23" s="20" t="n">
        <v>0.500441077667277</v>
      </c>
      <c r="F23" s="20" t="n">
        <v>0.849768725051355</v>
      </c>
      <c r="G23" s="20" t="n">
        <v>0.534561160002276</v>
      </c>
      <c r="H23" s="20" t="n">
        <v>2.18722704194657</v>
      </c>
      <c r="I23" s="20" t="n">
        <v>3.41375435637706</v>
      </c>
      <c r="J23" s="20" t="n">
        <v>5.08144473023708</v>
      </c>
      <c r="K23" s="20" t="n">
        <v>3.54707703689487</v>
      </c>
    </row>
    <row r="24" customFormat="false" ht="15" hidden="false" customHeight="true" outlineLevel="0" collapsed="false">
      <c r="A24" s="16" t="n">
        <v>20</v>
      </c>
      <c r="B24" s="16" t="s">
        <v>26</v>
      </c>
      <c r="C24" s="16" t="s">
        <v>25</v>
      </c>
      <c r="D24" s="20" t="n">
        <v>0.267325983307002</v>
      </c>
      <c r="E24" s="20" t="n">
        <v>0.501862350864891</v>
      </c>
      <c r="F24" s="20" t="n">
        <v>0.846898312550763</v>
      </c>
      <c r="G24" s="20" t="n">
        <v>0.53353609063045</v>
      </c>
      <c r="H24" s="20" t="n">
        <v>0.410768464313834</v>
      </c>
      <c r="I24" s="20" t="n">
        <v>0.709873727220527</v>
      </c>
      <c r="J24" s="20" t="n">
        <v>1.14715426172442</v>
      </c>
      <c r="K24" s="20" t="n">
        <v>0.749013497472261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0"/>
    <col collapsed="false" customWidth="true" hidden="false" outlineLevel="0" max="5" min="5" style="1" width="14"/>
  </cols>
  <sheetData>
    <row r="1" customFormat="false" ht="15.75" hidden="false" customHeight="true" outlineLevel="0" collapsed="false">
      <c r="A1" s="2" t="s">
        <v>63</v>
      </c>
    </row>
    <row r="2" customFormat="false" ht="30" hidden="false" customHeight="true" outlineLevel="0" collapsed="false">
      <c r="A2" s="14" t="s">
        <v>64</v>
      </c>
      <c r="B2" s="14"/>
      <c r="C2" s="14"/>
      <c r="D2" s="14"/>
      <c r="E2" s="14"/>
      <c r="F2" s="14"/>
    </row>
    <row r="4" customFormat="false" ht="15" hidden="false" customHeight="true" outlineLevel="0" collapsed="false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</row>
    <row r="5" customFormat="false" ht="15" hidden="false" customHeight="true" outlineLevel="0" collapsed="false">
      <c r="A5" s="22" t="s">
        <v>70</v>
      </c>
      <c r="B5" s="23" t="n">
        <v>18.8123080993432</v>
      </c>
      <c r="C5" s="23" t="n">
        <v>23.5110742333644</v>
      </c>
      <c r="D5" s="23" t="n">
        <v>29.1581948893517</v>
      </c>
      <c r="E5" s="23" t="n">
        <v>23.8231455397144</v>
      </c>
    </row>
    <row r="6" customFormat="false" ht="15" hidden="false" customHeight="true" outlineLevel="0" collapsed="false">
      <c r="A6" s="22" t="s">
        <v>71</v>
      </c>
      <c r="B6" s="23" t="n">
        <v>24.0391404178142</v>
      </c>
      <c r="C6" s="23" t="n">
        <v>29.1880611327878</v>
      </c>
      <c r="D6" s="23" t="n">
        <v>35.2065522357652</v>
      </c>
      <c r="E6" s="23" t="n">
        <v>29.439455029832</v>
      </c>
    </row>
    <row r="10" customFormat="false" ht="15" hidden="false" customHeight="true" outlineLevel="0" collapsed="false">
      <c r="A10" s="3" t="s">
        <v>72</v>
      </c>
    </row>
    <row r="11" customFormat="false" ht="15" hidden="false" customHeight="true" outlineLevel="0" collapsed="false">
      <c r="A11" s="1" t="s">
        <v>73</v>
      </c>
      <c r="B11" s="1" t="s">
        <v>74</v>
      </c>
    </row>
    <row r="12" customFormat="false" ht="15" hidden="false" customHeight="true" outlineLevel="0" collapsed="false">
      <c r="A12" s="1" t="n">
        <v>17.9</v>
      </c>
      <c r="B12" s="1" t="n">
        <v>16</v>
      </c>
    </row>
    <row r="13" customFormat="false" ht="15" hidden="false" customHeight="true" outlineLevel="0" collapsed="false">
      <c r="A13" s="1" t="n">
        <v>19.7</v>
      </c>
      <c r="B13" s="1" t="n">
        <v>90</v>
      </c>
    </row>
    <row r="14" customFormat="false" ht="15" hidden="false" customHeight="true" outlineLevel="0" collapsed="false">
      <c r="A14" s="1" t="n">
        <v>21.4</v>
      </c>
      <c r="B14" s="1" t="n">
        <v>280</v>
      </c>
    </row>
    <row r="15" customFormat="false" ht="15" hidden="false" customHeight="true" outlineLevel="0" collapsed="false">
      <c r="A15" s="1" t="n">
        <v>23.2</v>
      </c>
      <c r="B15" s="1" t="n">
        <v>626</v>
      </c>
    </row>
    <row r="16" customFormat="false" ht="15" hidden="false" customHeight="true" outlineLevel="0" collapsed="false">
      <c r="A16" s="1" t="n">
        <v>24.9</v>
      </c>
      <c r="B16" s="1" t="n">
        <v>1082</v>
      </c>
    </row>
    <row r="17" customFormat="false" ht="15" hidden="false" customHeight="true" outlineLevel="0" collapsed="false">
      <c r="A17" s="1" t="n">
        <v>26.7</v>
      </c>
      <c r="B17" s="1" t="n">
        <v>1453</v>
      </c>
    </row>
    <row r="18" customFormat="false" ht="15" hidden="false" customHeight="true" outlineLevel="0" collapsed="false">
      <c r="A18" s="1" t="n">
        <v>28.4</v>
      </c>
      <c r="B18" s="1" t="n">
        <v>1550</v>
      </c>
    </row>
    <row r="19" customFormat="false" ht="15" hidden="false" customHeight="true" outlineLevel="0" collapsed="false">
      <c r="A19" s="1" t="n">
        <v>30.2</v>
      </c>
      <c r="B19" s="1" t="n">
        <v>1495</v>
      </c>
    </row>
    <row r="20" customFormat="false" ht="15" hidden="false" customHeight="true" outlineLevel="0" collapsed="false">
      <c r="A20" s="1" t="n">
        <v>31.9</v>
      </c>
      <c r="B20" s="1" t="n">
        <v>1247</v>
      </c>
    </row>
    <row r="21" customFormat="false" ht="15" hidden="false" customHeight="true" outlineLevel="0" collapsed="false">
      <c r="A21" s="1" t="n">
        <v>33.7</v>
      </c>
      <c r="B21" s="1" t="n">
        <v>900</v>
      </c>
    </row>
    <row r="22" customFormat="false" ht="15" hidden="false" customHeight="true" outlineLevel="0" collapsed="false">
      <c r="A22" s="1" t="n">
        <v>35.4</v>
      </c>
      <c r="B22" s="1" t="n">
        <v>619</v>
      </c>
    </row>
    <row r="23" customFormat="false" ht="15" hidden="false" customHeight="true" outlineLevel="0" collapsed="false">
      <c r="A23" s="1" t="n">
        <v>37.2</v>
      </c>
      <c r="B23" s="1" t="n">
        <v>342</v>
      </c>
    </row>
    <row r="24" customFormat="false" ht="15" hidden="false" customHeight="true" outlineLevel="0" collapsed="false">
      <c r="A24" s="1" t="n">
        <v>38.9</v>
      </c>
      <c r="B24" s="1" t="n">
        <v>171</v>
      </c>
    </row>
    <row r="25" customFormat="false" ht="15" hidden="false" customHeight="true" outlineLevel="0" collapsed="false">
      <c r="A25" s="1" t="n">
        <v>40.7</v>
      </c>
      <c r="B25" s="1" t="n">
        <v>72</v>
      </c>
    </row>
    <row r="26" customFormat="false" ht="15" hidden="false" customHeight="true" outlineLevel="0" collapsed="false">
      <c r="A26" s="1" t="n">
        <v>42.4</v>
      </c>
      <c r="B26" s="1" t="n">
        <v>31</v>
      </c>
    </row>
    <row r="27" customFormat="false" ht="15" hidden="false" customHeight="true" outlineLevel="0" collapsed="false">
      <c r="A27" s="1" t="n">
        <v>44.2</v>
      </c>
      <c r="B27" s="1" t="n">
        <v>16</v>
      </c>
    </row>
    <row r="28" customFormat="false" ht="15" hidden="false" customHeight="true" outlineLevel="0" collapsed="false">
      <c r="A28" s="1" t="n">
        <v>45.9</v>
      </c>
      <c r="B28" s="1" t="n">
        <v>7</v>
      </c>
    </row>
    <row r="29" customFormat="false" ht="15" hidden="false" customHeight="true" outlineLevel="0" collapsed="false">
      <c r="A29" s="1" t="n">
        <v>47.7</v>
      </c>
      <c r="B29" s="1" t="n">
        <v>1</v>
      </c>
    </row>
    <row r="30" customFormat="false" ht="15" hidden="false" customHeight="true" outlineLevel="0" collapsed="false">
      <c r="A30" s="1" t="n">
        <v>49.4</v>
      </c>
      <c r="B30" s="1" t="n">
        <v>0</v>
      </c>
    </row>
    <row r="31" customFormat="false" ht="15" hidden="false" customHeight="true" outlineLevel="0" collapsed="false">
      <c r="A31" s="1" t="n">
        <v>51.2</v>
      </c>
      <c r="B31" s="1" t="n">
        <v>2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2026-07-30T08:00:04Z</dcterms:created>
  <dc:creator>openpyxl</dc:creator>
  <dc:description/>
  <dc:language>en-US</dc:language>
  <cp:lastModifiedBy/>
  <dcterms:modified xsi:type="dcterms:W3CDTF">2026-07-30T08:22:59Z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